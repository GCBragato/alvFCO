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sta\Desktop\"/>
    </mc:Choice>
  </mc:AlternateContent>
  <xr:revisionPtr revIDLastSave="0" documentId="8_{5A905CF0-185D-476E-B18E-2A3B90CB7164}" xr6:coauthVersionLast="47" xr6:coauthVersionMax="47" xr10:uidLastSave="{00000000-0000-0000-0000-000000000000}"/>
  <bookViews>
    <workbookView xWindow="-120" yWindow="-120" windowWidth="29040" windowHeight="15840" xr2:uid="{365EFB6B-4F4B-49E7-A48A-7C9AC91ABA56}"/>
  </bookViews>
  <sheets>
    <sheet name="Display" sheetId="1" r:id="rId1"/>
    <sheet name="Bas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  <c r="A13" i="1"/>
  <c r="A49" i="1" s="1"/>
  <c r="A12" i="1"/>
  <c r="A48" i="1" s="1"/>
  <c r="A11" i="1"/>
  <c r="A10" i="1"/>
  <c r="A9" i="1"/>
  <c r="A8" i="1"/>
  <c r="A7" i="1"/>
  <c r="A43" i="1" s="1"/>
  <c r="A6" i="1"/>
  <c r="A42" i="1" s="1"/>
  <c r="A5" i="1"/>
  <c r="A4" i="1"/>
  <c r="A3" i="1"/>
  <c r="A39" i="1" s="1"/>
  <c r="A50" i="1"/>
  <c r="A47" i="1"/>
  <c r="A46" i="1"/>
  <c r="A45" i="1"/>
  <c r="A44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7" i="1"/>
  <c r="B16" i="1"/>
  <c r="C16" i="1"/>
  <c r="D16" i="1"/>
  <c r="E16" i="1"/>
  <c r="F16" i="1"/>
  <c r="G16" i="1"/>
  <c r="H16" i="1"/>
  <c r="I16" i="1"/>
  <c r="K16" i="1"/>
  <c r="M16" i="1" s="1"/>
  <c r="N16" i="1" s="1"/>
  <c r="L16" i="1"/>
  <c r="B17" i="1"/>
  <c r="M17" i="1" s="1"/>
  <c r="N17" i="1" s="1"/>
  <c r="C17" i="1"/>
  <c r="D17" i="1"/>
  <c r="E17" i="1"/>
  <c r="F17" i="1"/>
  <c r="G17" i="1"/>
  <c r="H17" i="1"/>
  <c r="I17" i="1"/>
  <c r="K17" i="1"/>
  <c r="L17" i="1"/>
  <c r="B18" i="1"/>
  <c r="M18" i="1" s="1"/>
  <c r="N18" i="1" s="1"/>
  <c r="C18" i="1"/>
  <c r="D18" i="1"/>
  <c r="E18" i="1"/>
  <c r="F18" i="1"/>
  <c r="G18" i="1"/>
  <c r="H18" i="1"/>
  <c r="I18" i="1"/>
  <c r="K18" i="1"/>
  <c r="L18" i="1"/>
  <c r="B19" i="1"/>
  <c r="M19" i="1" s="1"/>
  <c r="N19" i="1" s="1"/>
  <c r="C19" i="1"/>
  <c r="D19" i="1"/>
  <c r="E19" i="1"/>
  <c r="F19" i="1"/>
  <c r="G19" i="1"/>
  <c r="H19" i="1"/>
  <c r="I19" i="1"/>
  <c r="K19" i="1"/>
  <c r="L19" i="1"/>
  <c r="B20" i="1"/>
  <c r="C20" i="1"/>
  <c r="M20" i="1" s="1"/>
  <c r="N20" i="1" s="1"/>
  <c r="D20" i="1"/>
  <c r="E20" i="1"/>
  <c r="F20" i="1"/>
  <c r="G20" i="1"/>
  <c r="H20" i="1"/>
  <c r="I20" i="1"/>
  <c r="K20" i="1"/>
  <c r="L20" i="1"/>
  <c r="B21" i="1"/>
  <c r="C21" i="1"/>
  <c r="D21" i="1"/>
  <c r="M21" i="1" s="1"/>
  <c r="N21" i="1" s="1"/>
  <c r="E21" i="1"/>
  <c r="F21" i="1"/>
  <c r="G21" i="1"/>
  <c r="H21" i="1"/>
  <c r="I21" i="1"/>
  <c r="K21" i="1"/>
  <c r="L21" i="1"/>
  <c r="B22" i="1"/>
  <c r="C22" i="1"/>
  <c r="D22" i="1"/>
  <c r="E22" i="1"/>
  <c r="M22" i="1" s="1"/>
  <c r="N22" i="1" s="1"/>
  <c r="F22" i="1"/>
  <c r="G22" i="1"/>
  <c r="H22" i="1"/>
  <c r="I22" i="1"/>
  <c r="K22" i="1"/>
  <c r="L22" i="1"/>
  <c r="B23" i="1"/>
  <c r="C23" i="1"/>
  <c r="D23" i="1"/>
  <c r="E23" i="1"/>
  <c r="F23" i="1"/>
  <c r="M23" i="1" s="1"/>
  <c r="N23" i="1" s="1"/>
  <c r="G23" i="1"/>
  <c r="H23" i="1"/>
  <c r="I23" i="1"/>
  <c r="K23" i="1"/>
  <c r="L23" i="1"/>
  <c r="B24" i="1"/>
  <c r="C24" i="1"/>
  <c r="D24" i="1"/>
  <c r="E24" i="1"/>
  <c r="F24" i="1"/>
  <c r="G24" i="1"/>
  <c r="M24" i="1" s="1"/>
  <c r="N24" i="1" s="1"/>
  <c r="H24" i="1"/>
  <c r="I24" i="1"/>
  <c r="K24" i="1"/>
  <c r="L24" i="1"/>
  <c r="B25" i="1"/>
  <c r="C25" i="1"/>
  <c r="D25" i="1"/>
  <c r="E25" i="1"/>
  <c r="F25" i="1"/>
  <c r="G25" i="1"/>
  <c r="H25" i="1"/>
  <c r="I25" i="1"/>
  <c r="M25" i="1" s="1"/>
  <c r="N25" i="1" s="1"/>
  <c r="K25" i="1"/>
  <c r="L25" i="1"/>
  <c r="B26" i="1"/>
  <c r="C26" i="1"/>
  <c r="D26" i="1"/>
  <c r="E26" i="1"/>
  <c r="F26" i="1"/>
  <c r="G26" i="1"/>
  <c r="H26" i="1"/>
  <c r="I26" i="1"/>
  <c r="M26" i="1"/>
  <c r="N26" i="1" s="1"/>
  <c r="K26" i="1"/>
  <c r="L26" i="1"/>
  <c r="C15" i="1"/>
  <c r="D15" i="1"/>
  <c r="E15" i="1"/>
  <c r="F15" i="1"/>
  <c r="G15" i="1"/>
  <c r="H15" i="1"/>
  <c r="I15" i="1"/>
  <c r="K15" i="1"/>
  <c r="L15" i="1"/>
  <c r="B15" i="1"/>
  <c r="M15" i="1" s="1"/>
  <c r="N15" i="1" s="1"/>
  <c r="A16" i="1"/>
  <c r="A17" i="1"/>
  <c r="A18" i="1"/>
  <c r="A19" i="1"/>
  <c r="A20" i="1"/>
  <c r="A21" i="1"/>
  <c r="A22" i="1"/>
  <c r="A23" i="1"/>
  <c r="A24" i="1"/>
  <c r="A25" i="1"/>
  <c r="A26" i="1"/>
  <c r="A15" i="1"/>
  <c r="C1" i="1"/>
  <c r="D1" i="1"/>
  <c r="E1" i="1"/>
  <c r="F1" i="1"/>
  <c r="G1" i="1"/>
  <c r="H1" i="1"/>
  <c r="I1" i="1"/>
  <c r="J1" i="1"/>
  <c r="K1" i="1"/>
  <c r="L1" i="1"/>
  <c r="B1" i="1"/>
  <c r="L14" i="1"/>
  <c r="L13" i="1"/>
  <c r="L12" i="1"/>
  <c r="L11" i="1"/>
  <c r="L10" i="1"/>
  <c r="L9" i="1"/>
  <c r="L8" i="1"/>
  <c r="L7" i="1"/>
  <c r="L6" i="1"/>
  <c r="L5" i="1"/>
  <c r="L4" i="1"/>
  <c r="L3" i="1"/>
  <c r="K3" i="1"/>
  <c r="L8" i="3"/>
  <c r="L7" i="3"/>
  <c r="L6" i="3"/>
  <c r="L5" i="3"/>
  <c r="L4" i="3"/>
  <c r="L3" i="3"/>
  <c r="L14" i="3"/>
  <c r="L13" i="3"/>
  <c r="L12" i="3"/>
  <c r="L11" i="3"/>
  <c r="L10" i="3"/>
  <c r="L9" i="3"/>
  <c r="K3" i="3"/>
  <c r="K4" i="3"/>
  <c r="K5" i="3"/>
  <c r="K6" i="3"/>
  <c r="K7" i="3"/>
  <c r="K8" i="3"/>
  <c r="K9" i="3"/>
  <c r="K10" i="3"/>
  <c r="K11" i="3"/>
  <c r="K12" i="3"/>
  <c r="K13" i="3"/>
  <c r="K14" i="3"/>
  <c r="J14" i="3"/>
  <c r="A51" i="1" l="1"/>
  <c r="K14" i="1"/>
  <c r="H12" i="1"/>
  <c r="H8" i="1"/>
  <c r="H4" i="1"/>
  <c r="C11" i="1"/>
  <c r="C7" i="1"/>
  <c r="C3" i="1"/>
  <c r="I11" i="1"/>
  <c r="D6" i="1"/>
  <c r="G12" i="1"/>
  <c r="G8" i="1"/>
  <c r="G4" i="1"/>
  <c r="B11" i="1"/>
  <c r="B7" i="1"/>
  <c r="B3" i="1"/>
  <c r="D12" i="1"/>
  <c r="H14" i="1"/>
  <c r="H11" i="1"/>
  <c r="H7" i="1"/>
  <c r="H3" i="1"/>
  <c r="C10" i="1"/>
  <c r="C6" i="1"/>
  <c r="I10" i="1"/>
  <c r="D9" i="1"/>
  <c r="G14" i="1"/>
  <c r="G11" i="1"/>
  <c r="G7" i="1"/>
  <c r="G3" i="1"/>
  <c r="B10" i="1"/>
  <c r="B6" i="1"/>
  <c r="D14" i="1"/>
  <c r="I6" i="1"/>
  <c r="D5" i="1"/>
  <c r="C14" i="1"/>
  <c r="H10" i="1"/>
  <c r="H6" i="1"/>
  <c r="C13" i="1"/>
  <c r="C9" i="1"/>
  <c r="C5" i="1"/>
  <c r="I9" i="1"/>
  <c r="B14" i="1"/>
  <c r="G10" i="1"/>
  <c r="G6" i="1"/>
  <c r="B13" i="1"/>
  <c r="B9" i="1"/>
  <c r="B5" i="1"/>
  <c r="I13" i="1"/>
  <c r="I5" i="1"/>
  <c r="H13" i="1"/>
  <c r="J13" i="1" s="1"/>
  <c r="H9" i="1"/>
  <c r="H5" i="1"/>
  <c r="C12" i="1"/>
  <c r="C8" i="1"/>
  <c r="C4" i="1"/>
  <c r="B4" i="1"/>
  <c r="I3" i="1"/>
  <c r="D13" i="1"/>
  <c r="G13" i="1"/>
  <c r="G9" i="1"/>
  <c r="G5" i="1"/>
  <c r="B12" i="1"/>
  <c r="B8" i="1"/>
  <c r="I7" i="1"/>
  <c r="D8" i="1"/>
  <c r="I12" i="1"/>
  <c r="I8" i="1"/>
  <c r="I4" i="1"/>
  <c r="D11" i="1"/>
  <c r="D7" i="1"/>
  <c r="D3" i="1"/>
  <c r="I14" i="1"/>
  <c r="D10" i="1"/>
  <c r="D4" i="1"/>
  <c r="J4" i="1" s="1"/>
  <c r="J12" i="1"/>
  <c r="J14" i="1" l="1"/>
  <c r="J3" i="1"/>
  <c r="J9" i="1"/>
  <c r="J5" i="1"/>
  <c r="J6" i="1"/>
  <c r="J10" i="1"/>
  <c r="J11" i="1"/>
  <c r="J8" i="1"/>
  <c r="J7" i="1"/>
  <c r="K13" i="1"/>
  <c r="J13" i="3"/>
  <c r="K12" i="1"/>
  <c r="J12" i="3"/>
  <c r="K11" i="1"/>
  <c r="J11" i="3"/>
  <c r="K10" i="1"/>
  <c r="J10" i="3"/>
  <c r="K9" i="1"/>
  <c r="J9" i="3"/>
  <c r="K8" i="1"/>
  <c r="J8" i="3"/>
  <c r="K7" i="1"/>
  <c r="J7" i="3"/>
  <c r="K6" i="1"/>
  <c r="J6" i="3"/>
  <c r="K5" i="1"/>
  <c r="J5" i="3"/>
  <c r="K4" i="1"/>
  <c r="J4" i="3"/>
  <c r="J3" i="3"/>
</calcChain>
</file>

<file path=xl/sharedStrings.xml><?xml version="1.0" encoding="utf-8"?>
<sst xmlns="http://schemas.openxmlformats.org/spreadsheetml/2006/main" count="29" uniqueCount="16">
  <si>
    <t>fbk</t>
  </si>
  <si>
    <t>fa</t>
  </si>
  <si>
    <t>fgk</t>
  </si>
  <si>
    <t>fpk/fbk</t>
  </si>
  <si>
    <t>fpk*/fpk</t>
  </si>
  <si>
    <t>fpk</t>
  </si>
  <si>
    <t>fpk*</t>
  </si>
  <si>
    <t>ftk</t>
  </si>
  <si>
    <t>Ege3</t>
  </si>
  <si>
    <t>E</t>
  </si>
  <si>
    <t>Unidade</t>
  </si>
  <si>
    <t>tf/m²</t>
  </si>
  <si>
    <t>MPa</t>
  </si>
  <si>
    <t>Multiplicador</t>
  </si>
  <si>
    <t>GPa</t>
  </si>
  <si>
    <t>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</si>
</sst>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5" x14ac:knownFonts="1"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Arial"/>
      <family val="2"/>
    </font>
    <font>
      <b/>
      <i/>
      <sz val="12"/>
      <color rgb="FF00B0F0"/>
      <name val="Arial"/>
      <family val="2"/>
    </font>
    <font>
      <sz val="11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3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37D6-F6F6-4790-A61A-2AB537D64DAF}">
  <dimension ref="A1:O51"/>
  <sheetViews>
    <sheetView showGridLines="0" tabSelected="1" topLeftCell="A22" zoomScale="85" zoomScaleNormal="85" workbookViewId="0">
      <selection activeCell="A51" sqref="A51"/>
    </sheetView>
  </sheetViews>
  <sheetFormatPr defaultRowHeight="15" customHeight="1" x14ac:dyDescent="0.2"/>
  <cols>
    <col min="1" max="1" width="14.09765625" style="1" bestFit="1" customWidth="1"/>
    <col min="2" max="2" width="6.69921875" style="1" bestFit="1" customWidth="1"/>
    <col min="3" max="3" width="5.796875" style="1" bestFit="1" customWidth="1"/>
    <col min="4" max="4" width="6.69921875" style="1" bestFit="1" customWidth="1"/>
    <col min="5" max="5" width="11.19921875" style="1" bestFit="1" customWidth="1"/>
    <col min="6" max="6" width="12.19921875" style="1" bestFit="1" customWidth="1"/>
    <col min="7" max="7" width="8.19921875" style="1" bestFit="1" customWidth="1"/>
    <col min="8" max="8" width="9.19921875" style="1" bestFit="1" customWidth="1"/>
    <col min="9" max="9" width="8.59765625" style="1" bestFit="1" customWidth="1"/>
    <col min="10" max="10" width="6.09765625" style="1" bestFit="1" customWidth="1"/>
    <col min="11" max="11" width="7.3984375" style="1" bestFit="1" customWidth="1"/>
    <col min="12" max="12" width="9.296875" style="1" bestFit="1" customWidth="1"/>
    <col min="13" max="13" width="82.296875" style="1" bestFit="1" customWidth="1"/>
    <col min="14" max="14" width="95.296875" style="1" bestFit="1" customWidth="1"/>
    <col min="15" max="15" width="4.8984375" style="1" bestFit="1" customWidth="1"/>
    <col min="16" max="16384" width="8.796875" style="1"/>
  </cols>
  <sheetData>
    <row r="1" spans="1:15" ht="15" customHeight="1" thickBot="1" x14ac:dyDescent="0.25">
      <c r="B1" s="1" t="str">
        <f>_xlfn.CONCAT("'",B2,"':")</f>
        <v>'fbk':</v>
      </c>
      <c r="C1" s="1" t="str">
        <f t="shared" ref="C1:L1" si="0">_xlfn.CONCAT("'",C2,"':")</f>
        <v>'fa':</v>
      </c>
      <c r="D1" s="1" t="str">
        <f t="shared" si="0"/>
        <v>'fgk':</v>
      </c>
      <c r="E1" s="1" t="str">
        <f t="shared" si="0"/>
        <v>'fpk/fbk':</v>
      </c>
      <c r="F1" s="1" t="str">
        <f t="shared" si="0"/>
        <v>'fpk*/fpk':</v>
      </c>
      <c r="G1" s="1" t="str">
        <f t="shared" si="0"/>
        <v>'fpk':</v>
      </c>
      <c r="H1" s="1" t="str">
        <f t="shared" si="0"/>
        <v>'fpk*':</v>
      </c>
      <c r="I1" s="1" t="str">
        <f t="shared" si="0"/>
        <v>'ftk':</v>
      </c>
      <c r="J1" s="1" t="str">
        <f t="shared" si="0"/>
        <v>'Ege3':</v>
      </c>
      <c r="K1" s="1" t="str">
        <f t="shared" si="0"/>
        <v>'E':</v>
      </c>
      <c r="L1" s="1" t="str">
        <f t="shared" si="0"/>
        <v>'E*':</v>
      </c>
    </row>
    <row r="2" spans="1:15" ht="15" customHeight="1" thickBot="1" x14ac:dyDescent="0.25">
      <c r="B2" s="7" t="s">
        <v>0</v>
      </c>
      <c r="C2" s="8" t="s">
        <v>1</v>
      </c>
      <c r="D2" s="8" t="s">
        <v>2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9" t="s">
        <v>15</v>
      </c>
      <c r="N2" s="2" t="s">
        <v>10</v>
      </c>
      <c r="O2" s="3" t="s">
        <v>12</v>
      </c>
    </row>
    <row r="3" spans="1:15" ht="15" customHeight="1" thickBot="1" x14ac:dyDescent="0.25">
      <c r="A3" s="1" t="str">
        <f>_xlfn.CONCAT(B3,":")</f>
        <v>3:</v>
      </c>
      <c r="B3" s="13">
        <f>Base!B3*VLOOKUP($O$2,Base!$N$3:$O$5,2,0)</f>
        <v>3</v>
      </c>
      <c r="C3" s="10">
        <f>Base!C3*VLOOKUP($O$2,Base!$N$3:$O$5,2,0)</f>
        <v>4</v>
      </c>
      <c r="D3" s="10">
        <f>Base!D3*VLOOKUP($O$2,Base!$N$3:$O$5,2,0)</f>
        <v>15</v>
      </c>
      <c r="E3" s="10">
        <v>0.8</v>
      </c>
      <c r="F3" s="10">
        <v>2</v>
      </c>
      <c r="G3" s="10">
        <f>Base!G3*VLOOKUP($O$2,Base!$N$3:$O$5,2,0)</f>
        <v>2.4</v>
      </c>
      <c r="H3" s="10">
        <f>Base!H3*VLOOKUP($O$2,Base!$N$3:$O$5,2,0)</f>
        <v>4.8</v>
      </c>
      <c r="I3" s="10">
        <f>Base!I3*VLOOKUP($O$2,Base!$N$3:$O$5,2,0)</f>
        <v>-0.2</v>
      </c>
      <c r="J3" s="10">
        <f>(H3-G3)/D3</f>
        <v>0.16</v>
      </c>
      <c r="K3" s="10">
        <f>Base!K3*VLOOKUP($O$2,Base!$N$3:$O$5,2,0)</f>
        <v>1920</v>
      </c>
      <c r="L3" s="11">
        <f>Base!L3*VLOOKUP($O$2,Base!$N$3:$O$5,2,0)</f>
        <v>3840</v>
      </c>
      <c r="M3" s="29"/>
    </row>
    <row r="4" spans="1:15" ht="15" customHeight="1" thickBot="1" x14ac:dyDescent="0.25">
      <c r="A4" s="1" t="str">
        <f t="shared" ref="A4:A14" si="1">_xlfn.CONCAT(B4,":")</f>
        <v>4:</v>
      </c>
      <c r="B4" s="14">
        <f>Base!B4*VLOOKUP($O$2,Base!$N$3:$O$5,2,0)</f>
        <v>4</v>
      </c>
      <c r="C4" s="15">
        <f>Base!C4*VLOOKUP($O$2,Base!$N$3:$O$5,2,0)</f>
        <v>4</v>
      </c>
      <c r="D4" s="15">
        <f>Base!D4*VLOOKUP($O$2,Base!$N$3:$O$5,2,0)</f>
        <v>15</v>
      </c>
      <c r="E4" s="15">
        <v>0.8</v>
      </c>
      <c r="F4" s="15">
        <v>2</v>
      </c>
      <c r="G4" s="15">
        <f>Base!G4*VLOOKUP($O$2,Base!$N$3:$O$5,2,0)</f>
        <v>3.2</v>
      </c>
      <c r="H4" s="15">
        <f>Base!H4*VLOOKUP($O$2,Base!$N$3:$O$5,2,0)</f>
        <v>6.4</v>
      </c>
      <c r="I4" s="15">
        <f>Base!I4*VLOOKUP($O$2,Base!$N$3:$O$5,2,0)</f>
        <v>-0.2</v>
      </c>
      <c r="J4" s="15">
        <f t="shared" ref="J4:J13" si="2">(H4-G4)/D4</f>
        <v>0.21333333333333335</v>
      </c>
      <c r="K4" s="15">
        <f>Base!K4*VLOOKUP($O$2,Base!$N$3:$O$5,2,0)</f>
        <v>2560</v>
      </c>
      <c r="L4" s="24">
        <f>Base!L4*VLOOKUP($O$2,Base!$N$3:$O$5,2,0)</f>
        <v>5120</v>
      </c>
      <c r="M4" s="29"/>
    </row>
    <row r="5" spans="1:15" ht="15" customHeight="1" thickBot="1" x14ac:dyDescent="0.25">
      <c r="A5" s="1" t="str">
        <f t="shared" si="1"/>
        <v>6:</v>
      </c>
      <c r="B5" s="16">
        <f>Base!B5*VLOOKUP($O$2,Base!$N$3:$O$5,2,0)</f>
        <v>6</v>
      </c>
      <c r="C5" s="17">
        <f>Base!C5*VLOOKUP($O$2,Base!$N$3:$O$5,2,0)</f>
        <v>6</v>
      </c>
      <c r="D5" s="17">
        <f>Base!D5*VLOOKUP($O$2,Base!$N$3:$O$5,2,0)</f>
        <v>15</v>
      </c>
      <c r="E5" s="17">
        <v>0.75</v>
      </c>
      <c r="F5" s="17">
        <v>1.75</v>
      </c>
      <c r="G5" s="17">
        <f>Base!G5*VLOOKUP($O$2,Base!$N$3:$O$5,2,0)</f>
        <v>4.5</v>
      </c>
      <c r="H5" s="17">
        <f>Base!H5*VLOOKUP($O$2,Base!$N$3:$O$5,2,0)</f>
        <v>7.9</v>
      </c>
      <c r="I5" s="17">
        <f>Base!I5*VLOOKUP($O$2,Base!$N$3:$O$5,2,0)</f>
        <v>-0.2</v>
      </c>
      <c r="J5" s="17">
        <f t="shared" si="2"/>
        <v>0.22666666666666668</v>
      </c>
      <c r="K5" s="17">
        <f>Base!K5*VLOOKUP($O$2,Base!$N$3:$O$5,2,0)</f>
        <v>3600</v>
      </c>
      <c r="L5" s="25">
        <f>Base!L5*VLOOKUP($O$2,Base!$N$3:$O$5,2,0)</f>
        <v>6320</v>
      </c>
      <c r="M5" s="29"/>
    </row>
    <row r="6" spans="1:15" ht="15" customHeight="1" thickBot="1" x14ac:dyDescent="0.25">
      <c r="A6" s="1" t="str">
        <f t="shared" si="1"/>
        <v>8:</v>
      </c>
      <c r="B6" s="18">
        <f>Base!B6*VLOOKUP($O$2,Base!$N$3:$O$5,2,0)</f>
        <v>8</v>
      </c>
      <c r="C6" s="19">
        <f>Base!C6*VLOOKUP($O$2,Base!$N$3:$O$5,2,0)</f>
        <v>6</v>
      </c>
      <c r="D6" s="19">
        <f>Base!D6*VLOOKUP($O$2,Base!$N$3:$O$5,2,0)</f>
        <v>20</v>
      </c>
      <c r="E6" s="19">
        <v>0.75</v>
      </c>
      <c r="F6" s="19">
        <v>1.75</v>
      </c>
      <c r="G6" s="19">
        <f>Base!G6*VLOOKUP($O$2,Base!$N$3:$O$5,2,0)</f>
        <v>6</v>
      </c>
      <c r="H6" s="19">
        <f>Base!H6*VLOOKUP($O$2,Base!$N$3:$O$5,2,0)</f>
        <v>10.5</v>
      </c>
      <c r="I6" s="19">
        <f>Base!I6*VLOOKUP($O$2,Base!$N$3:$O$5,2,0)</f>
        <v>-0.2</v>
      </c>
      <c r="J6" s="19">
        <f t="shared" si="2"/>
        <v>0.22500000000000001</v>
      </c>
      <c r="K6" s="19">
        <f>Base!K6*VLOOKUP($O$2,Base!$N$3:$O$5,2,0)</f>
        <v>4800</v>
      </c>
      <c r="L6" s="26">
        <f>Base!L6*VLOOKUP($O$2,Base!$N$3:$O$5,2,0)</f>
        <v>8400</v>
      </c>
      <c r="M6" s="29"/>
    </row>
    <row r="7" spans="1:15" ht="15" customHeight="1" thickBot="1" x14ac:dyDescent="0.25">
      <c r="A7" s="1" t="str">
        <f t="shared" si="1"/>
        <v>10:</v>
      </c>
      <c r="B7" s="20">
        <f>Base!B7*VLOOKUP($O$2,Base!$N$3:$O$5,2,0)</f>
        <v>10</v>
      </c>
      <c r="C7" s="21">
        <f>Base!C7*VLOOKUP($O$2,Base!$N$3:$O$5,2,0)</f>
        <v>8</v>
      </c>
      <c r="D7" s="21">
        <f>Base!D7*VLOOKUP($O$2,Base!$N$3:$O$5,2,0)</f>
        <v>20</v>
      </c>
      <c r="E7" s="21">
        <v>0.7</v>
      </c>
      <c r="F7" s="21">
        <v>1.75</v>
      </c>
      <c r="G7" s="21">
        <f>Base!G7*VLOOKUP($O$2,Base!$N$3:$O$5,2,0)</f>
        <v>7</v>
      </c>
      <c r="H7" s="21">
        <f>Base!H7*VLOOKUP($O$2,Base!$N$3:$O$5,2,0)</f>
        <v>12.3</v>
      </c>
      <c r="I7" s="21">
        <f>Base!I7*VLOOKUP($O$2,Base!$N$3:$O$5,2,0)</f>
        <v>-0.25</v>
      </c>
      <c r="J7" s="21">
        <f t="shared" si="2"/>
        <v>0.26500000000000001</v>
      </c>
      <c r="K7" s="21">
        <f>Base!K7*VLOOKUP($O$2,Base!$N$3:$O$5,2,0)</f>
        <v>5600</v>
      </c>
      <c r="L7" s="27">
        <f>Base!L7*VLOOKUP($O$2,Base!$N$3:$O$5,2,0)</f>
        <v>9840</v>
      </c>
      <c r="M7" s="29"/>
    </row>
    <row r="8" spans="1:15" ht="15" customHeight="1" thickBot="1" x14ac:dyDescent="0.25">
      <c r="A8" s="1" t="str">
        <f t="shared" si="1"/>
        <v>12:</v>
      </c>
      <c r="B8" s="22">
        <f>Base!B8*VLOOKUP($O$2,Base!$N$3:$O$5,2,0)</f>
        <v>12</v>
      </c>
      <c r="C8" s="23">
        <f>Base!C8*VLOOKUP($O$2,Base!$N$3:$O$5,2,0)</f>
        <v>8</v>
      </c>
      <c r="D8" s="23">
        <f>Base!D8*VLOOKUP($O$2,Base!$N$3:$O$5,2,0)</f>
        <v>25</v>
      </c>
      <c r="E8" s="23">
        <v>0.7</v>
      </c>
      <c r="F8" s="23">
        <v>1.6</v>
      </c>
      <c r="G8" s="23">
        <f>Base!G8*VLOOKUP($O$2,Base!$N$3:$O$5,2,0)</f>
        <v>8.4</v>
      </c>
      <c r="H8" s="23">
        <f>Base!H8*VLOOKUP($O$2,Base!$N$3:$O$5,2,0)</f>
        <v>13.4</v>
      </c>
      <c r="I8" s="23">
        <f>Base!I8*VLOOKUP($O$2,Base!$N$3:$O$5,2,0)</f>
        <v>-0.25</v>
      </c>
      <c r="J8" s="23">
        <f t="shared" si="2"/>
        <v>0.2</v>
      </c>
      <c r="K8" s="23">
        <f>Base!K8*VLOOKUP($O$2,Base!$N$3:$O$5,2,0)</f>
        <v>6720</v>
      </c>
      <c r="L8" s="28">
        <f>Base!L8*VLOOKUP($O$2,Base!$N$3:$O$5,2,0)</f>
        <v>10720</v>
      </c>
      <c r="M8" s="29"/>
    </row>
    <row r="9" spans="1:15" ht="15" customHeight="1" thickBot="1" x14ac:dyDescent="0.25">
      <c r="A9" s="1" t="str">
        <f t="shared" si="1"/>
        <v>14:</v>
      </c>
      <c r="B9" s="14">
        <f>Base!B9*VLOOKUP($O$2,Base!$N$3:$O$5,2,0)</f>
        <v>14</v>
      </c>
      <c r="C9" s="15">
        <f>Base!C9*VLOOKUP($O$2,Base!$N$3:$O$5,2,0)</f>
        <v>12</v>
      </c>
      <c r="D9" s="15">
        <f>Base!D9*VLOOKUP($O$2,Base!$N$3:$O$5,2,0)</f>
        <v>25</v>
      </c>
      <c r="E9" s="15">
        <v>0.7</v>
      </c>
      <c r="F9" s="15">
        <v>1.6</v>
      </c>
      <c r="G9" s="15">
        <f>Base!G9*VLOOKUP($O$2,Base!$N$3:$O$5,2,0)</f>
        <v>9.8000000000000007</v>
      </c>
      <c r="H9" s="15">
        <f>Base!H9*VLOOKUP($O$2,Base!$N$3:$O$5,2,0)</f>
        <v>15.7</v>
      </c>
      <c r="I9" s="15">
        <f>Base!I9*VLOOKUP($O$2,Base!$N$3:$O$5,2,0)</f>
        <v>-0.25</v>
      </c>
      <c r="J9" s="15">
        <f t="shared" si="2"/>
        <v>0.23599999999999993</v>
      </c>
      <c r="K9" s="15">
        <f>Base!K9*VLOOKUP($O$2,Base!$N$3:$O$5,2,0)</f>
        <v>7840.0000000000009</v>
      </c>
      <c r="L9" s="24">
        <f>Base!L9*VLOOKUP($O$2,Base!$N$3:$O$5,2,0)</f>
        <v>12560</v>
      </c>
      <c r="M9" s="29"/>
    </row>
    <row r="10" spans="1:15" ht="15" customHeight="1" thickBot="1" x14ac:dyDescent="0.25">
      <c r="A10" s="1" t="str">
        <f t="shared" si="1"/>
        <v>16:</v>
      </c>
      <c r="B10" s="16">
        <f>Base!B10*VLOOKUP($O$2,Base!$N$3:$O$5,2,0)</f>
        <v>16</v>
      </c>
      <c r="C10" s="17">
        <f>Base!C10*VLOOKUP($O$2,Base!$N$3:$O$5,2,0)</f>
        <v>12</v>
      </c>
      <c r="D10" s="17">
        <f>Base!D10*VLOOKUP($O$2,Base!$N$3:$O$5,2,0)</f>
        <v>30</v>
      </c>
      <c r="E10" s="17">
        <v>0.65</v>
      </c>
      <c r="F10" s="17">
        <v>1.6</v>
      </c>
      <c r="G10" s="17">
        <f>Base!G10*VLOOKUP($O$2,Base!$N$3:$O$5,2,0)</f>
        <v>10.4</v>
      </c>
      <c r="H10" s="17">
        <f>Base!H10*VLOOKUP($O$2,Base!$N$3:$O$5,2,0)</f>
        <v>16.600000000000001</v>
      </c>
      <c r="I10" s="17">
        <f>Base!I10*VLOOKUP($O$2,Base!$N$3:$O$5,2,0)</f>
        <v>-0.25</v>
      </c>
      <c r="J10" s="17">
        <f t="shared" si="2"/>
        <v>0.20666666666666669</v>
      </c>
      <c r="K10" s="17">
        <f>Base!K10*VLOOKUP($O$2,Base!$N$3:$O$5,2,0)</f>
        <v>8320</v>
      </c>
      <c r="L10" s="25">
        <f>Base!L10*VLOOKUP($O$2,Base!$N$3:$O$5,2,0)</f>
        <v>13280.000000000002</v>
      </c>
      <c r="M10" s="29"/>
    </row>
    <row r="11" spans="1:15" ht="15" customHeight="1" thickBot="1" x14ac:dyDescent="0.25">
      <c r="A11" s="1" t="str">
        <f t="shared" si="1"/>
        <v>18:</v>
      </c>
      <c r="B11" s="18">
        <f>Base!B11*VLOOKUP($O$2,Base!$N$3:$O$5,2,0)</f>
        <v>18</v>
      </c>
      <c r="C11" s="19">
        <f>Base!C11*VLOOKUP($O$2,Base!$N$3:$O$5,2,0)</f>
        <v>14</v>
      </c>
      <c r="D11" s="19">
        <f>Base!D11*VLOOKUP($O$2,Base!$N$3:$O$5,2,0)</f>
        <v>30</v>
      </c>
      <c r="E11" s="19">
        <v>0.65</v>
      </c>
      <c r="F11" s="19">
        <v>1.6</v>
      </c>
      <c r="G11" s="19">
        <f>Base!G11*VLOOKUP($O$2,Base!$N$3:$O$5,2,0)</f>
        <v>11.7</v>
      </c>
      <c r="H11" s="19">
        <f>Base!H11*VLOOKUP($O$2,Base!$N$3:$O$5,2,0)</f>
        <v>18.7</v>
      </c>
      <c r="I11" s="19">
        <f>Base!I11*VLOOKUP($O$2,Base!$N$3:$O$5,2,0)</f>
        <v>-0.25</v>
      </c>
      <c r="J11" s="19">
        <f t="shared" si="2"/>
        <v>0.23333333333333334</v>
      </c>
      <c r="K11" s="19">
        <f>Base!K11*VLOOKUP($O$2,Base!$N$3:$O$5,2,0)</f>
        <v>9360</v>
      </c>
      <c r="L11" s="26">
        <f>Base!L11*VLOOKUP($O$2,Base!$N$3:$O$5,2,0)</f>
        <v>14960</v>
      </c>
      <c r="M11" s="29"/>
    </row>
    <row r="12" spans="1:15" ht="15" customHeight="1" thickBot="1" x14ac:dyDescent="0.25">
      <c r="A12" s="1" t="str">
        <f t="shared" si="1"/>
        <v>20:</v>
      </c>
      <c r="B12" s="20">
        <f>Base!B12*VLOOKUP($O$2,Base!$N$3:$O$5,2,0)</f>
        <v>20</v>
      </c>
      <c r="C12" s="21">
        <f>Base!C12*VLOOKUP($O$2,Base!$N$3:$O$5,2,0)</f>
        <v>14</v>
      </c>
      <c r="D12" s="21">
        <f>Base!D12*VLOOKUP($O$2,Base!$N$3:$O$5,2,0)</f>
        <v>35</v>
      </c>
      <c r="E12" s="21">
        <v>0.6</v>
      </c>
      <c r="F12" s="21">
        <v>1.6</v>
      </c>
      <c r="G12" s="21">
        <f>Base!G12*VLOOKUP($O$2,Base!$N$3:$O$5,2,0)</f>
        <v>12</v>
      </c>
      <c r="H12" s="21">
        <f>Base!H12*VLOOKUP($O$2,Base!$N$3:$O$5,2,0)</f>
        <v>19.2</v>
      </c>
      <c r="I12" s="21">
        <f>Base!I12*VLOOKUP($O$2,Base!$N$3:$O$5,2,0)</f>
        <v>-0.25</v>
      </c>
      <c r="J12" s="21">
        <f t="shared" si="2"/>
        <v>0.20571428571428568</v>
      </c>
      <c r="K12" s="21">
        <f>Base!K12*VLOOKUP($O$2,Base!$N$3:$O$5,2,0)</f>
        <v>9600</v>
      </c>
      <c r="L12" s="27">
        <f>Base!L12*VLOOKUP($O$2,Base!$N$3:$O$5,2,0)</f>
        <v>15360</v>
      </c>
      <c r="M12" s="29"/>
    </row>
    <row r="13" spans="1:15" ht="15" customHeight="1" thickBot="1" x14ac:dyDescent="0.25">
      <c r="A13" s="1" t="str">
        <f t="shared" si="1"/>
        <v>22:</v>
      </c>
      <c r="B13" s="22">
        <f>Base!B13*VLOOKUP($O$2,Base!$N$3:$O$5,2,0)</f>
        <v>22</v>
      </c>
      <c r="C13" s="23">
        <f>Base!C13*VLOOKUP($O$2,Base!$N$3:$O$5,2,0)</f>
        <v>18</v>
      </c>
      <c r="D13" s="23">
        <f>Base!D13*VLOOKUP($O$2,Base!$N$3:$O$5,2,0)</f>
        <v>35</v>
      </c>
      <c r="E13" s="23">
        <v>0.55000000000000004</v>
      </c>
      <c r="F13" s="23">
        <v>1.6</v>
      </c>
      <c r="G13" s="23">
        <f>Base!G13*VLOOKUP($O$2,Base!$N$3:$O$5,2,0)</f>
        <v>12.1</v>
      </c>
      <c r="H13" s="23">
        <f>Base!H13*VLOOKUP($O$2,Base!$N$3:$O$5,2,0)</f>
        <v>19.399999999999999</v>
      </c>
      <c r="I13" s="23">
        <f>Base!I13*VLOOKUP($O$2,Base!$N$3:$O$5,2,0)</f>
        <v>-0.25</v>
      </c>
      <c r="J13" s="23">
        <f t="shared" si="2"/>
        <v>0.20857142857142855</v>
      </c>
      <c r="K13" s="23">
        <f>Base!K13*VLOOKUP($O$2,Base!$N$3:$O$5,2,0)</f>
        <v>9075</v>
      </c>
      <c r="L13" s="28">
        <f>Base!L13*VLOOKUP($O$2,Base!$N$3:$O$5,2,0)</f>
        <v>14549.999999999998</v>
      </c>
      <c r="M13" s="29"/>
    </row>
    <row r="14" spans="1:15" ht="15" customHeight="1" thickBot="1" x14ac:dyDescent="0.25">
      <c r="A14" s="1" t="str">
        <f t="shared" si="1"/>
        <v>24:</v>
      </c>
      <c r="B14" s="14">
        <f>Base!B14*VLOOKUP($O$2,Base!$N$3:$O$5,2,0)</f>
        <v>24</v>
      </c>
      <c r="C14" s="15">
        <f>Base!C14*VLOOKUP($O$2,Base!$N$3:$O$5,2,0)</f>
        <v>18</v>
      </c>
      <c r="D14" s="15">
        <f>Base!D14*VLOOKUP($O$2,Base!$N$3:$O$5,2,0)</f>
        <v>40</v>
      </c>
      <c r="E14" s="15">
        <v>0.7</v>
      </c>
      <c r="F14" s="15">
        <v>1.6</v>
      </c>
      <c r="G14" s="15">
        <f>Base!G14*VLOOKUP($O$2,Base!$N$3:$O$5,2,0)</f>
        <v>13.2</v>
      </c>
      <c r="H14" s="15">
        <f>Base!H14*VLOOKUP($O$2,Base!$N$3:$O$5,2,0)</f>
        <v>21.1</v>
      </c>
      <c r="I14" s="15">
        <f>Base!I14*VLOOKUP($O$2,Base!$N$3:$O$5,2,0)</f>
        <v>-0.25</v>
      </c>
      <c r="J14" s="15">
        <f t="shared" ref="J14" si="3">(H14-G14)/D14</f>
        <v>0.19750000000000006</v>
      </c>
      <c r="K14" s="15">
        <f>Base!K14*VLOOKUP($O$2,Base!$N$3:$O$5,2,0)</f>
        <v>9900</v>
      </c>
      <c r="L14" s="24">
        <f>Base!L14*VLOOKUP($O$2,Base!$N$3:$O$5,2,0)</f>
        <v>15825.000000000002</v>
      </c>
    </row>
    <row r="15" spans="1:15" ht="15" customHeight="1" x14ac:dyDescent="0.2">
      <c r="A15" s="29" t="str">
        <f>_xlfn.CONCAT("alv_fbk_",ROW()-14," = {")</f>
        <v>alv_fbk_1 = {</v>
      </c>
      <c r="B15" s="1" t="str">
        <f>_xlfn.CONCAT(B$1,B3)</f>
        <v>'fbk':3</v>
      </c>
      <c r="C15" s="1" t="str">
        <f t="shared" ref="C15:L15" si="4">_xlfn.CONCAT(C$1,C3)</f>
        <v>'fa':4</v>
      </c>
      <c r="D15" s="1" t="str">
        <f t="shared" si="4"/>
        <v>'fgk':15</v>
      </c>
      <c r="E15" s="1" t="str">
        <f t="shared" si="4"/>
        <v>'fpk/fbk':0.8</v>
      </c>
      <c r="F15" s="1" t="str">
        <f t="shared" si="4"/>
        <v>'fpk*/fpk':2</v>
      </c>
      <c r="G15" s="1" t="str">
        <f t="shared" si="4"/>
        <v>'fpk':2.4</v>
      </c>
      <c r="H15" s="1" t="str">
        <f t="shared" si="4"/>
        <v>'fpk*':4.8</v>
      </c>
      <c r="I15" s="1" t="str">
        <f t="shared" si="4"/>
        <v>'ftk':-0.2</v>
      </c>
      <c r="K15" s="1" t="str">
        <f t="shared" si="4"/>
        <v>'E':1920</v>
      </c>
      <c r="L15" s="1" t="str">
        <f t="shared" si="4"/>
        <v>'E*':3840</v>
      </c>
      <c r="M15" s="1" t="str">
        <f>_xlfn.TEXTJOIN(",",TRUE,B15:L15)</f>
        <v>'fbk':3,'fa':4,'fgk':15,'fpk/fbk':0.8,'fpk*/fpk':2,'fpk':2.4,'fpk*':4.8,'ftk':-0.2,'E':1920,'E*':3840</v>
      </c>
      <c r="N15" s="29" t="str">
        <f>_xlfn.CONCAT(A15,M15,"}")</f>
        <v>alv_fbk_1 = {'fbk':3,'fa':4,'fgk':15,'fpk/fbk':0.8,'fpk*/fpk':2,'fpk':2.4,'fpk*':4.8,'ftk':-0.2,'E':1920,'E*':3840}</v>
      </c>
    </row>
    <row r="16" spans="1:15" ht="15" customHeight="1" x14ac:dyDescent="0.2">
      <c r="A16" s="29" t="str">
        <f t="shared" ref="A16:A28" si="5">_xlfn.CONCAT("alv_fbk_",ROW()-14," = {")</f>
        <v>alv_fbk_2 = {</v>
      </c>
      <c r="B16" s="1" t="str">
        <f t="shared" ref="B16:L16" si="6">_xlfn.CONCAT(B$1,B4)</f>
        <v>'fbk':4</v>
      </c>
      <c r="C16" s="1" t="str">
        <f t="shared" si="6"/>
        <v>'fa':4</v>
      </c>
      <c r="D16" s="1" t="str">
        <f t="shared" si="6"/>
        <v>'fgk':15</v>
      </c>
      <c r="E16" s="1" t="str">
        <f t="shared" si="6"/>
        <v>'fpk/fbk':0.8</v>
      </c>
      <c r="F16" s="1" t="str">
        <f t="shared" si="6"/>
        <v>'fpk*/fpk':2</v>
      </c>
      <c r="G16" s="1" t="str">
        <f t="shared" si="6"/>
        <v>'fpk':3.2</v>
      </c>
      <c r="H16" s="1" t="str">
        <f t="shared" si="6"/>
        <v>'fpk*':6.4</v>
      </c>
      <c r="I16" s="1" t="str">
        <f t="shared" si="6"/>
        <v>'ftk':-0.2</v>
      </c>
      <c r="K16" s="1" t="str">
        <f t="shared" si="6"/>
        <v>'E':2560</v>
      </c>
      <c r="L16" s="1" t="str">
        <f t="shared" si="6"/>
        <v>'E*':5120</v>
      </c>
      <c r="M16" s="1" t="str">
        <f t="shared" ref="M16:M26" si="7">_xlfn.TEXTJOIN(",",TRUE,B16:L16)</f>
        <v>'fbk':4,'fa':4,'fgk':15,'fpk/fbk':0.8,'fpk*/fpk':2,'fpk':3.2,'fpk*':6.4,'ftk':-0.2,'E':2560,'E*':5120</v>
      </c>
      <c r="N16" s="29" t="str">
        <f t="shared" ref="N16:N26" si="8">_xlfn.CONCAT(A16,M16,"}")</f>
        <v>alv_fbk_2 = {'fbk':4,'fa':4,'fgk':15,'fpk/fbk':0.8,'fpk*/fpk':2,'fpk':3.2,'fpk*':6.4,'ftk':-0.2,'E':2560,'E*':5120}</v>
      </c>
    </row>
    <row r="17" spans="1:14" ht="15" customHeight="1" x14ac:dyDescent="0.2">
      <c r="A17" s="29" t="str">
        <f t="shared" si="5"/>
        <v>alv_fbk_3 = {</v>
      </c>
      <c r="B17" s="1" t="str">
        <f t="shared" ref="B17:L17" si="9">_xlfn.CONCAT(B$1,B5)</f>
        <v>'fbk':6</v>
      </c>
      <c r="C17" s="1" t="str">
        <f t="shared" si="9"/>
        <v>'fa':6</v>
      </c>
      <c r="D17" s="1" t="str">
        <f t="shared" si="9"/>
        <v>'fgk':15</v>
      </c>
      <c r="E17" s="1" t="str">
        <f t="shared" si="9"/>
        <v>'fpk/fbk':0.75</v>
      </c>
      <c r="F17" s="1" t="str">
        <f t="shared" si="9"/>
        <v>'fpk*/fpk':1.75</v>
      </c>
      <c r="G17" s="1" t="str">
        <f t="shared" si="9"/>
        <v>'fpk':4.5</v>
      </c>
      <c r="H17" s="1" t="str">
        <f t="shared" si="9"/>
        <v>'fpk*':7.9</v>
      </c>
      <c r="I17" s="1" t="str">
        <f t="shared" si="9"/>
        <v>'ftk':-0.2</v>
      </c>
      <c r="K17" s="1" t="str">
        <f t="shared" si="9"/>
        <v>'E':3600</v>
      </c>
      <c r="L17" s="1" t="str">
        <f t="shared" si="9"/>
        <v>'E*':6320</v>
      </c>
      <c r="M17" s="1" t="str">
        <f t="shared" si="7"/>
        <v>'fbk':6,'fa':6,'fgk':15,'fpk/fbk':0.75,'fpk*/fpk':1.75,'fpk':4.5,'fpk*':7.9,'ftk':-0.2,'E':3600,'E*':6320</v>
      </c>
      <c r="N17" s="29" t="str">
        <f t="shared" si="8"/>
        <v>alv_fbk_3 = {'fbk':6,'fa':6,'fgk':15,'fpk/fbk':0.75,'fpk*/fpk':1.75,'fpk':4.5,'fpk*':7.9,'ftk':-0.2,'E':3600,'E*':6320}</v>
      </c>
    </row>
    <row r="18" spans="1:14" ht="15" customHeight="1" x14ac:dyDescent="0.2">
      <c r="A18" s="29" t="str">
        <f t="shared" si="5"/>
        <v>alv_fbk_4 = {</v>
      </c>
      <c r="B18" s="1" t="str">
        <f t="shared" ref="B18:L18" si="10">_xlfn.CONCAT(B$1,B6)</f>
        <v>'fbk':8</v>
      </c>
      <c r="C18" s="1" t="str">
        <f t="shared" si="10"/>
        <v>'fa':6</v>
      </c>
      <c r="D18" s="1" t="str">
        <f t="shared" si="10"/>
        <v>'fgk':20</v>
      </c>
      <c r="E18" s="1" t="str">
        <f t="shared" si="10"/>
        <v>'fpk/fbk':0.75</v>
      </c>
      <c r="F18" s="1" t="str">
        <f t="shared" si="10"/>
        <v>'fpk*/fpk':1.75</v>
      </c>
      <c r="G18" s="1" t="str">
        <f t="shared" si="10"/>
        <v>'fpk':6</v>
      </c>
      <c r="H18" s="1" t="str">
        <f t="shared" si="10"/>
        <v>'fpk*':10.5</v>
      </c>
      <c r="I18" s="1" t="str">
        <f t="shared" si="10"/>
        <v>'ftk':-0.2</v>
      </c>
      <c r="K18" s="1" t="str">
        <f t="shared" si="10"/>
        <v>'E':4800</v>
      </c>
      <c r="L18" s="1" t="str">
        <f t="shared" si="10"/>
        <v>'E*':8400</v>
      </c>
      <c r="M18" s="1" t="str">
        <f t="shared" si="7"/>
        <v>'fbk':8,'fa':6,'fgk':20,'fpk/fbk':0.75,'fpk*/fpk':1.75,'fpk':6,'fpk*':10.5,'ftk':-0.2,'E':4800,'E*':8400</v>
      </c>
      <c r="N18" s="29" t="str">
        <f t="shared" si="8"/>
        <v>alv_fbk_4 = {'fbk':8,'fa':6,'fgk':20,'fpk/fbk':0.75,'fpk*/fpk':1.75,'fpk':6,'fpk*':10.5,'ftk':-0.2,'E':4800,'E*':8400}</v>
      </c>
    </row>
    <row r="19" spans="1:14" ht="15" customHeight="1" x14ac:dyDescent="0.2">
      <c r="A19" s="29" t="str">
        <f t="shared" si="5"/>
        <v>alv_fbk_5 = {</v>
      </c>
      <c r="B19" s="1" t="str">
        <f t="shared" ref="B19:L19" si="11">_xlfn.CONCAT(B$1,B7)</f>
        <v>'fbk':10</v>
      </c>
      <c r="C19" s="1" t="str">
        <f t="shared" si="11"/>
        <v>'fa':8</v>
      </c>
      <c r="D19" s="1" t="str">
        <f t="shared" si="11"/>
        <v>'fgk':20</v>
      </c>
      <c r="E19" s="1" t="str">
        <f t="shared" si="11"/>
        <v>'fpk/fbk':0.7</v>
      </c>
      <c r="F19" s="1" t="str">
        <f t="shared" si="11"/>
        <v>'fpk*/fpk':1.75</v>
      </c>
      <c r="G19" s="1" t="str">
        <f t="shared" si="11"/>
        <v>'fpk':7</v>
      </c>
      <c r="H19" s="1" t="str">
        <f t="shared" si="11"/>
        <v>'fpk*':12.3</v>
      </c>
      <c r="I19" s="1" t="str">
        <f t="shared" si="11"/>
        <v>'ftk':-0.25</v>
      </c>
      <c r="K19" s="1" t="str">
        <f t="shared" si="11"/>
        <v>'E':5600</v>
      </c>
      <c r="L19" s="1" t="str">
        <f t="shared" si="11"/>
        <v>'E*':9840</v>
      </c>
      <c r="M19" s="1" t="str">
        <f t="shared" si="7"/>
        <v>'fbk':10,'fa':8,'fgk':20,'fpk/fbk':0.7,'fpk*/fpk':1.75,'fpk':7,'fpk*':12.3,'ftk':-0.25,'E':5600,'E*':9840</v>
      </c>
      <c r="N19" s="29" t="str">
        <f t="shared" si="8"/>
        <v>alv_fbk_5 = {'fbk':10,'fa':8,'fgk':20,'fpk/fbk':0.7,'fpk*/fpk':1.75,'fpk':7,'fpk*':12.3,'ftk':-0.25,'E':5600,'E*':9840}</v>
      </c>
    </row>
    <row r="20" spans="1:14" ht="15" customHeight="1" x14ac:dyDescent="0.2">
      <c r="A20" s="29" t="str">
        <f t="shared" si="5"/>
        <v>alv_fbk_6 = {</v>
      </c>
      <c r="B20" s="1" t="str">
        <f t="shared" ref="B20:L20" si="12">_xlfn.CONCAT(B$1,B8)</f>
        <v>'fbk':12</v>
      </c>
      <c r="C20" s="1" t="str">
        <f t="shared" si="12"/>
        <v>'fa':8</v>
      </c>
      <c r="D20" s="1" t="str">
        <f t="shared" si="12"/>
        <v>'fgk':25</v>
      </c>
      <c r="E20" s="1" t="str">
        <f t="shared" si="12"/>
        <v>'fpk/fbk':0.7</v>
      </c>
      <c r="F20" s="1" t="str">
        <f t="shared" si="12"/>
        <v>'fpk*/fpk':1.6</v>
      </c>
      <c r="G20" s="1" t="str">
        <f t="shared" si="12"/>
        <v>'fpk':8.4</v>
      </c>
      <c r="H20" s="1" t="str">
        <f t="shared" si="12"/>
        <v>'fpk*':13.4</v>
      </c>
      <c r="I20" s="1" t="str">
        <f t="shared" si="12"/>
        <v>'ftk':-0.25</v>
      </c>
      <c r="K20" s="1" t="str">
        <f t="shared" si="12"/>
        <v>'E':6720</v>
      </c>
      <c r="L20" s="1" t="str">
        <f t="shared" si="12"/>
        <v>'E*':10720</v>
      </c>
      <c r="M20" s="1" t="str">
        <f t="shared" si="7"/>
        <v>'fbk':12,'fa':8,'fgk':25,'fpk/fbk':0.7,'fpk*/fpk':1.6,'fpk':8.4,'fpk*':13.4,'ftk':-0.25,'E':6720,'E*':10720</v>
      </c>
      <c r="N20" s="29" t="str">
        <f t="shared" si="8"/>
        <v>alv_fbk_6 = {'fbk':12,'fa':8,'fgk':25,'fpk/fbk':0.7,'fpk*/fpk':1.6,'fpk':8.4,'fpk*':13.4,'ftk':-0.25,'E':6720,'E*':10720}</v>
      </c>
    </row>
    <row r="21" spans="1:14" ht="15" customHeight="1" x14ac:dyDescent="0.2">
      <c r="A21" s="29" t="str">
        <f t="shared" si="5"/>
        <v>alv_fbk_7 = {</v>
      </c>
      <c r="B21" s="1" t="str">
        <f t="shared" ref="B21:L21" si="13">_xlfn.CONCAT(B$1,B9)</f>
        <v>'fbk':14</v>
      </c>
      <c r="C21" s="1" t="str">
        <f t="shared" si="13"/>
        <v>'fa':12</v>
      </c>
      <c r="D21" s="1" t="str">
        <f t="shared" si="13"/>
        <v>'fgk':25</v>
      </c>
      <c r="E21" s="1" t="str">
        <f t="shared" si="13"/>
        <v>'fpk/fbk':0.7</v>
      </c>
      <c r="F21" s="1" t="str">
        <f t="shared" si="13"/>
        <v>'fpk*/fpk':1.6</v>
      </c>
      <c r="G21" s="1" t="str">
        <f t="shared" si="13"/>
        <v>'fpk':9.8</v>
      </c>
      <c r="H21" s="1" t="str">
        <f t="shared" si="13"/>
        <v>'fpk*':15.7</v>
      </c>
      <c r="I21" s="1" t="str">
        <f t="shared" si="13"/>
        <v>'ftk':-0.25</v>
      </c>
      <c r="K21" s="1" t="str">
        <f t="shared" si="13"/>
        <v>'E':7840</v>
      </c>
      <c r="L21" s="1" t="str">
        <f t="shared" si="13"/>
        <v>'E*':12560</v>
      </c>
      <c r="M21" s="1" t="str">
        <f t="shared" si="7"/>
        <v>'fbk':14,'fa':12,'fgk':25,'fpk/fbk':0.7,'fpk*/fpk':1.6,'fpk':9.8,'fpk*':15.7,'ftk':-0.25,'E':7840,'E*':12560</v>
      </c>
      <c r="N21" s="29" t="str">
        <f t="shared" si="8"/>
        <v>alv_fbk_7 = {'fbk':14,'fa':12,'fgk':25,'fpk/fbk':0.7,'fpk*/fpk':1.6,'fpk':9.8,'fpk*':15.7,'ftk':-0.25,'E':7840,'E*':12560}</v>
      </c>
    </row>
    <row r="22" spans="1:14" ht="15" customHeight="1" x14ac:dyDescent="0.2">
      <c r="A22" s="29" t="str">
        <f t="shared" si="5"/>
        <v>alv_fbk_8 = {</v>
      </c>
      <c r="B22" s="1" t="str">
        <f t="shared" ref="B22:L22" si="14">_xlfn.CONCAT(B$1,B10)</f>
        <v>'fbk':16</v>
      </c>
      <c r="C22" s="1" t="str">
        <f t="shared" si="14"/>
        <v>'fa':12</v>
      </c>
      <c r="D22" s="1" t="str">
        <f t="shared" si="14"/>
        <v>'fgk':30</v>
      </c>
      <c r="E22" s="1" t="str">
        <f t="shared" si="14"/>
        <v>'fpk/fbk':0.65</v>
      </c>
      <c r="F22" s="1" t="str">
        <f t="shared" si="14"/>
        <v>'fpk*/fpk':1.6</v>
      </c>
      <c r="G22" s="1" t="str">
        <f t="shared" si="14"/>
        <v>'fpk':10.4</v>
      </c>
      <c r="H22" s="1" t="str">
        <f t="shared" si="14"/>
        <v>'fpk*':16.6</v>
      </c>
      <c r="I22" s="1" t="str">
        <f t="shared" si="14"/>
        <v>'ftk':-0.25</v>
      </c>
      <c r="K22" s="1" t="str">
        <f t="shared" si="14"/>
        <v>'E':8320</v>
      </c>
      <c r="L22" s="1" t="str">
        <f t="shared" si="14"/>
        <v>'E*':13280</v>
      </c>
      <c r="M22" s="1" t="str">
        <f t="shared" si="7"/>
        <v>'fbk':16,'fa':12,'fgk':30,'fpk/fbk':0.65,'fpk*/fpk':1.6,'fpk':10.4,'fpk*':16.6,'ftk':-0.25,'E':8320,'E*':13280</v>
      </c>
      <c r="N22" s="29" t="str">
        <f t="shared" si="8"/>
        <v>alv_fbk_8 = {'fbk':16,'fa':12,'fgk':30,'fpk/fbk':0.65,'fpk*/fpk':1.6,'fpk':10.4,'fpk*':16.6,'ftk':-0.25,'E':8320,'E*':13280}</v>
      </c>
    </row>
    <row r="23" spans="1:14" ht="15" customHeight="1" x14ac:dyDescent="0.2">
      <c r="A23" s="29" t="str">
        <f t="shared" si="5"/>
        <v>alv_fbk_9 = {</v>
      </c>
      <c r="B23" s="1" t="str">
        <f t="shared" ref="B23:L23" si="15">_xlfn.CONCAT(B$1,B11)</f>
        <v>'fbk':18</v>
      </c>
      <c r="C23" s="1" t="str">
        <f t="shared" si="15"/>
        <v>'fa':14</v>
      </c>
      <c r="D23" s="1" t="str">
        <f t="shared" si="15"/>
        <v>'fgk':30</v>
      </c>
      <c r="E23" s="1" t="str">
        <f t="shared" si="15"/>
        <v>'fpk/fbk':0.65</v>
      </c>
      <c r="F23" s="1" t="str">
        <f t="shared" si="15"/>
        <v>'fpk*/fpk':1.6</v>
      </c>
      <c r="G23" s="1" t="str">
        <f t="shared" si="15"/>
        <v>'fpk':11.7</v>
      </c>
      <c r="H23" s="1" t="str">
        <f t="shared" si="15"/>
        <v>'fpk*':18.7</v>
      </c>
      <c r="I23" s="1" t="str">
        <f t="shared" si="15"/>
        <v>'ftk':-0.25</v>
      </c>
      <c r="K23" s="1" t="str">
        <f t="shared" si="15"/>
        <v>'E':9360</v>
      </c>
      <c r="L23" s="1" t="str">
        <f t="shared" si="15"/>
        <v>'E*':14960</v>
      </c>
      <c r="M23" s="1" t="str">
        <f t="shared" si="7"/>
        <v>'fbk':18,'fa':14,'fgk':30,'fpk/fbk':0.65,'fpk*/fpk':1.6,'fpk':11.7,'fpk*':18.7,'ftk':-0.25,'E':9360,'E*':14960</v>
      </c>
      <c r="N23" s="29" t="str">
        <f t="shared" si="8"/>
        <v>alv_fbk_9 = {'fbk':18,'fa':14,'fgk':30,'fpk/fbk':0.65,'fpk*/fpk':1.6,'fpk':11.7,'fpk*':18.7,'ftk':-0.25,'E':9360,'E*':14960}</v>
      </c>
    </row>
    <row r="24" spans="1:14" ht="15" customHeight="1" x14ac:dyDescent="0.2">
      <c r="A24" s="29" t="str">
        <f t="shared" si="5"/>
        <v>alv_fbk_10 = {</v>
      </c>
      <c r="B24" s="1" t="str">
        <f t="shared" ref="B24:L24" si="16">_xlfn.CONCAT(B$1,B12)</f>
        <v>'fbk':20</v>
      </c>
      <c r="C24" s="1" t="str">
        <f t="shared" si="16"/>
        <v>'fa':14</v>
      </c>
      <c r="D24" s="1" t="str">
        <f t="shared" si="16"/>
        <v>'fgk':35</v>
      </c>
      <c r="E24" s="1" t="str">
        <f t="shared" si="16"/>
        <v>'fpk/fbk':0.6</v>
      </c>
      <c r="F24" s="1" t="str">
        <f t="shared" si="16"/>
        <v>'fpk*/fpk':1.6</v>
      </c>
      <c r="G24" s="1" t="str">
        <f t="shared" si="16"/>
        <v>'fpk':12</v>
      </c>
      <c r="H24" s="1" t="str">
        <f t="shared" si="16"/>
        <v>'fpk*':19.2</v>
      </c>
      <c r="I24" s="1" t="str">
        <f t="shared" si="16"/>
        <v>'ftk':-0.25</v>
      </c>
      <c r="K24" s="1" t="str">
        <f t="shared" si="16"/>
        <v>'E':9600</v>
      </c>
      <c r="L24" s="1" t="str">
        <f t="shared" si="16"/>
        <v>'E*':15360</v>
      </c>
      <c r="M24" s="1" t="str">
        <f t="shared" si="7"/>
        <v>'fbk':20,'fa':14,'fgk':35,'fpk/fbk':0.6,'fpk*/fpk':1.6,'fpk':12,'fpk*':19.2,'ftk':-0.25,'E':9600,'E*':15360</v>
      </c>
      <c r="N24" s="29" t="str">
        <f t="shared" si="8"/>
        <v>alv_fbk_10 = {'fbk':20,'fa':14,'fgk':35,'fpk/fbk':0.6,'fpk*/fpk':1.6,'fpk':12,'fpk*':19.2,'ftk':-0.25,'E':9600,'E*':15360}</v>
      </c>
    </row>
    <row r="25" spans="1:14" ht="15" customHeight="1" x14ac:dyDescent="0.2">
      <c r="A25" s="29" t="str">
        <f t="shared" si="5"/>
        <v>alv_fbk_11 = {</v>
      </c>
      <c r="B25" s="1" t="str">
        <f t="shared" ref="B25:L25" si="17">_xlfn.CONCAT(B$1,B13)</f>
        <v>'fbk':22</v>
      </c>
      <c r="C25" s="1" t="str">
        <f t="shared" si="17"/>
        <v>'fa':18</v>
      </c>
      <c r="D25" s="1" t="str">
        <f t="shared" si="17"/>
        <v>'fgk':35</v>
      </c>
      <c r="E25" s="1" t="str">
        <f t="shared" si="17"/>
        <v>'fpk/fbk':0.55</v>
      </c>
      <c r="F25" s="1" t="str">
        <f t="shared" si="17"/>
        <v>'fpk*/fpk':1.6</v>
      </c>
      <c r="G25" s="1" t="str">
        <f t="shared" si="17"/>
        <v>'fpk':12.1</v>
      </c>
      <c r="H25" s="1" t="str">
        <f t="shared" si="17"/>
        <v>'fpk*':19.4</v>
      </c>
      <c r="I25" s="1" t="str">
        <f t="shared" si="17"/>
        <v>'ftk':-0.25</v>
      </c>
      <c r="K25" s="1" t="str">
        <f t="shared" si="17"/>
        <v>'E':9075</v>
      </c>
      <c r="L25" s="1" t="str">
        <f t="shared" si="17"/>
        <v>'E*':14550</v>
      </c>
      <c r="M25" s="1" t="str">
        <f t="shared" si="7"/>
        <v>'fbk':22,'fa':18,'fgk':35,'fpk/fbk':0.55,'fpk*/fpk':1.6,'fpk':12.1,'fpk*':19.4,'ftk':-0.25,'E':9075,'E*':14550</v>
      </c>
      <c r="N25" s="29" t="str">
        <f t="shared" si="8"/>
        <v>alv_fbk_11 = {'fbk':22,'fa':18,'fgk':35,'fpk/fbk':0.55,'fpk*/fpk':1.6,'fpk':12.1,'fpk*':19.4,'ftk':-0.25,'E':9075,'E*':14550}</v>
      </c>
    </row>
    <row r="26" spans="1:14" ht="15" customHeight="1" x14ac:dyDescent="0.2">
      <c r="A26" s="29" t="str">
        <f t="shared" si="5"/>
        <v>alv_fbk_12 = {</v>
      </c>
      <c r="B26" s="1" t="str">
        <f t="shared" ref="B26:L26" si="18">_xlfn.CONCAT(B$1,B14)</f>
        <v>'fbk':24</v>
      </c>
      <c r="C26" s="1" t="str">
        <f t="shared" si="18"/>
        <v>'fa':18</v>
      </c>
      <c r="D26" s="1" t="str">
        <f t="shared" si="18"/>
        <v>'fgk':40</v>
      </c>
      <c r="E26" s="1" t="str">
        <f t="shared" si="18"/>
        <v>'fpk/fbk':0.7</v>
      </c>
      <c r="F26" s="1" t="str">
        <f t="shared" si="18"/>
        <v>'fpk*/fpk':1.6</v>
      </c>
      <c r="G26" s="1" t="str">
        <f t="shared" si="18"/>
        <v>'fpk':13.2</v>
      </c>
      <c r="H26" s="1" t="str">
        <f t="shared" si="18"/>
        <v>'fpk*':21.1</v>
      </c>
      <c r="I26" s="1" t="str">
        <f t="shared" si="18"/>
        <v>'ftk':-0.25</v>
      </c>
      <c r="K26" s="1" t="str">
        <f t="shared" si="18"/>
        <v>'E':9900</v>
      </c>
      <c r="L26" s="1" t="str">
        <f t="shared" si="18"/>
        <v>'E*':15825</v>
      </c>
      <c r="M26" s="1" t="str">
        <f t="shared" si="7"/>
        <v>'fbk':24,'fa':18,'fgk':40,'fpk/fbk':0.7,'fpk*/fpk':1.6,'fpk':13.2,'fpk*':21.1,'ftk':-0.25,'E':9900,'E*':15825</v>
      </c>
      <c r="N26" s="29" t="str">
        <f t="shared" si="8"/>
        <v>alv_fbk_12 = {'fbk':24,'fa':18,'fgk':40,'fpk/fbk':0.7,'fpk*/fpk':1.6,'fpk':13.2,'fpk*':21.1,'ftk':-0.25,'E':9900,'E*':15825}</v>
      </c>
    </row>
    <row r="27" spans="1:14" ht="15" customHeight="1" x14ac:dyDescent="0.2">
      <c r="A27" s="29" t="str">
        <f>LEFT(A15,SEARCH("=",A15,1)-2)</f>
        <v>alv_fbk_1</v>
      </c>
    </row>
    <row r="28" spans="1:14" ht="15" customHeight="1" x14ac:dyDescent="0.2">
      <c r="A28" s="29" t="str">
        <f t="shared" ref="A28:A38" si="19">LEFT(A16,SEARCH("=",A16,1)-2)</f>
        <v>alv_fbk_2</v>
      </c>
    </row>
    <row r="29" spans="1:14" ht="15" customHeight="1" x14ac:dyDescent="0.2">
      <c r="A29" s="29" t="str">
        <f t="shared" si="19"/>
        <v>alv_fbk_3</v>
      </c>
    </row>
    <row r="30" spans="1:14" ht="15" customHeight="1" x14ac:dyDescent="0.2">
      <c r="A30" s="29" t="str">
        <f t="shared" si="19"/>
        <v>alv_fbk_4</v>
      </c>
    </row>
    <row r="31" spans="1:14" ht="15" customHeight="1" x14ac:dyDescent="0.2">
      <c r="A31" s="29" t="str">
        <f t="shared" si="19"/>
        <v>alv_fbk_5</v>
      </c>
    </row>
    <row r="32" spans="1:14" ht="15" customHeight="1" x14ac:dyDescent="0.2">
      <c r="A32" s="29" t="str">
        <f t="shared" si="19"/>
        <v>alv_fbk_6</v>
      </c>
    </row>
    <row r="33" spans="1:1" ht="15" customHeight="1" x14ac:dyDescent="0.2">
      <c r="A33" s="29" t="str">
        <f t="shared" si="19"/>
        <v>alv_fbk_7</v>
      </c>
    </row>
    <row r="34" spans="1:1" ht="15" customHeight="1" x14ac:dyDescent="0.2">
      <c r="A34" s="29" t="str">
        <f t="shared" si="19"/>
        <v>alv_fbk_8</v>
      </c>
    </row>
    <row r="35" spans="1:1" ht="15" customHeight="1" x14ac:dyDescent="0.2">
      <c r="A35" s="29" t="str">
        <f t="shared" si="19"/>
        <v>alv_fbk_9</v>
      </c>
    </row>
    <row r="36" spans="1:1" ht="15" customHeight="1" x14ac:dyDescent="0.2">
      <c r="A36" s="29" t="str">
        <f t="shared" si="19"/>
        <v>alv_fbk_10</v>
      </c>
    </row>
    <row r="37" spans="1:1" ht="15" customHeight="1" x14ac:dyDescent="0.2">
      <c r="A37" s="29" t="str">
        <f t="shared" si="19"/>
        <v>alv_fbk_11</v>
      </c>
    </row>
    <row r="38" spans="1:1" ht="15" customHeight="1" x14ac:dyDescent="0.2">
      <c r="A38" s="29" t="str">
        <f t="shared" si="19"/>
        <v>alv_fbk_12</v>
      </c>
    </row>
    <row r="39" spans="1:1" ht="15" customHeight="1" x14ac:dyDescent="0.2">
      <c r="A39" s="1" t="str">
        <f>_xlfn.CONCAT(A3,A27)</f>
        <v>3:alv_fbk_1</v>
      </c>
    </row>
    <row r="40" spans="1:1" ht="15" customHeight="1" x14ac:dyDescent="0.2">
      <c r="A40" s="1" t="str">
        <f t="shared" ref="A40:A51" si="20">_xlfn.CONCAT(A4,A28)</f>
        <v>4:alv_fbk_2</v>
      </c>
    </row>
    <row r="41" spans="1:1" ht="15" customHeight="1" x14ac:dyDescent="0.2">
      <c r="A41" s="1" t="str">
        <f t="shared" si="20"/>
        <v>6:alv_fbk_3</v>
      </c>
    </row>
    <row r="42" spans="1:1" ht="15" customHeight="1" x14ac:dyDescent="0.2">
      <c r="A42" s="1" t="str">
        <f t="shared" si="20"/>
        <v>8:alv_fbk_4</v>
      </c>
    </row>
    <row r="43" spans="1:1" ht="15" customHeight="1" x14ac:dyDescent="0.2">
      <c r="A43" s="1" t="str">
        <f t="shared" si="20"/>
        <v>10:alv_fbk_5</v>
      </c>
    </row>
    <row r="44" spans="1:1" ht="15" customHeight="1" x14ac:dyDescent="0.2">
      <c r="A44" s="1" t="str">
        <f t="shared" si="20"/>
        <v>12:alv_fbk_6</v>
      </c>
    </row>
    <row r="45" spans="1:1" ht="15" customHeight="1" x14ac:dyDescent="0.2">
      <c r="A45" s="1" t="str">
        <f t="shared" si="20"/>
        <v>14:alv_fbk_7</v>
      </c>
    </row>
    <row r="46" spans="1:1" ht="15" customHeight="1" x14ac:dyDescent="0.2">
      <c r="A46" s="1" t="str">
        <f t="shared" si="20"/>
        <v>16:alv_fbk_8</v>
      </c>
    </row>
    <row r="47" spans="1:1" ht="15" customHeight="1" x14ac:dyDescent="0.2">
      <c r="A47" s="1" t="str">
        <f t="shared" si="20"/>
        <v>18:alv_fbk_9</v>
      </c>
    </row>
    <row r="48" spans="1:1" ht="15" customHeight="1" x14ac:dyDescent="0.2">
      <c r="A48" s="1" t="str">
        <f t="shared" si="20"/>
        <v>20:alv_fbk_10</v>
      </c>
    </row>
    <row r="49" spans="1:1" ht="15" customHeight="1" x14ac:dyDescent="0.2">
      <c r="A49" s="1" t="str">
        <f t="shared" si="20"/>
        <v>22:alv_fbk_11</v>
      </c>
    </row>
    <row r="50" spans="1:1" ht="15" customHeight="1" x14ac:dyDescent="0.2">
      <c r="A50" s="1" t="str">
        <f t="shared" si="20"/>
        <v>24:alv_fbk_12</v>
      </c>
    </row>
    <row r="51" spans="1:1" ht="15" customHeight="1" x14ac:dyDescent="0.2">
      <c r="A51" s="1" t="str">
        <f>_xlfn.TEXTJOIN(",",TRUE,A39:A50)</f>
        <v>3:alv_fbk_1,4:alv_fbk_2,6:alv_fbk_3,8:alv_fbk_4,10:alv_fbk_5,12:alv_fbk_6,14:alv_fbk_7,16:alv_fbk_8,18:alv_fbk_9,20:alv_fbk_10,22:alv_fbk_11,24:alv_fbk_12</v>
      </c>
    </row>
  </sheetData>
  <dataValidations disablePrompts="1" count="1">
    <dataValidation type="list" allowBlank="1" showInputMessage="1" showErrorMessage="1" sqref="O2" xr:uid="{13682DA3-6F01-4851-8B61-0AC727222C7B}">
      <formula1>"MPa,tf/m²,GPa"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656B-FDE8-4EC9-9B0E-24B1D217683F}">
  <dimension ref="B1:O14"/>
  <sheetViews>
    <sheetView showGridLines="0" zoomScale="130" zoomScaleNormal="130" workbookViewId="0">
      <selection activeCell="L14" sqref="B2:L14"/>
    </sheetView>
  </sheetViews>
  <sheetFormatPr defaultRowHeight="15" customHeight="1" x14ac:dyDescent="0.2"/>
  <cols>
    <col min="1" max="1" width="2" style="1" customWidth="1"/>
    <col min="2" max="14" width="8.796875" style="1"/>
    <col min="15" max="15" width="11.296875" style="1" bestFit="1" customWidth="1"/>
    <col min="16" max="16384" width="8.796875" style="1"/>
  </cols>
  <sheetData>
    <row r="1" spans="2:15" ht="15" customHeight="1" thickBot="1" x14ac:dyDescent="0.25"/>
    <row r="2" spans="2:15" ht="15" customHeight="1" thickBot="1" x14ac:dyDescent="0.25">
      <c r="B2" s="7" t="s">
        <v>0</v>
      </c>
      <c r="C2" s="8" t="s">
        <v>1</v>
      </c>
      <c r="D2" s="8" t="s">
        <v>2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9" t="s">
        <v>15</v>
      </c>
      <c r="N2" s="4" t="s">
        <v>10</v>
      </c>
      <c r="O2" s="5" t="s">
        <v>13</v>
      </c>
    </row>
    <row r="3" spans="2:15" ht="15" customHeight="1" thickBot="1" x14ac:dyDescent="0.25">
      <c r="B3" s="13">
        <v>3</v>
      </c>
      <c r="C3" s="10">
        <v>4</v>
      </c>
      <c r="D3" s="10">
        <v>15</v>
      </c>
      <c r="E3" s="10">
        <v>0.8</v>
      </c>
      <c r="F3" s="10">
        <v>2</v>
      </c>
      <c r="G3" s="10">
        <v>2.4</v>
      </c>
      <c r="H3" s="10">
        <v>4.8</v>
      </c>
      <c r="I3" s="10">
        <v>-0.2</v>
      </c>
      <c r="J3" s="10">
        <f>(H3-G3)/D3</f>
        <v>0.16</v>
      </c>
      <c r="K3" s="10">
        <f>IF(B3&lt;=20,800*G3,IF(B3&lt;=24,G3*750,G3*700))</f>
        <v>1920</v>
      </c>
      <c r="L3" s="11">
        <f t="shared" ref="L3:L8" si="0">IF(B3&lt;=20,800*H3,IF(B3&lt;=24,H3*750,H3*700))</f>
        <v>3840</v>
      </c>
      <c r="N3" s="6" t="s">
        <v>12</v>
      </c>
      <c r="O3" s="12">
        <v>1</v>
      </c>
    </row>
    <row r="4" spans="2:15" ht="15" customHeight="1" thickBot="1" x14ac:dyDescent="0.25">
      <c r="B4" s="14">
        <v>4</v>
      </c>
      <c r="C4" s="15">
        <v>4</v>
      </c>
      <c r="D4" s="15">
        <v>15</v>
      </c>
      <c r="E4" s="15">
        <v>0.8</v>
      </c>
      <c r="F4" s="15">
        <v>2</v>
      </c>
      <c r="G4" s="15">
        <v>3.2</v>
      </c>
      <c r="H4" s="15">
        <v>6.4</v>
      </c>
      <c r="I4" s="15">
        <v>-0.2</v>
      </c>
      <c r="J4" s="15">
        <f t="shared" ref="J4:J13" si="1">(H4-G4)/D4</f>
        <v>0.21333333333333335</v>
      </c>
      <c r="K4" s="15">
        <f t="shared" ref="K4:K13" si="2">IF(B4&lt;=20,800*G4,IF(B4&lt;=24,G4*750,G4*700))</f>
        <v>2560</v>
      </c>
      <c r="L4" s="24">
        <f t="shared" si="0"/>
        <v>5120</v>
      </c>
      <c r="N4" s="6" t="s">
        <v>11</v>
      </c>
      <c r="O4" s="12">
        <v>100</v>
      </c>
    </row>
    <row r="5" spans="2:15" ht="15" customHeight="1" thickBot="1" x14ac:dyDescent="0.25">
      <c r="B5" s="16">
        <v>6</v>
      </c>
      <c r="C5" s="17">
        <v>6</v>
      </c>
      <c r="D5" s="17">
        <v>15</v>
      </c>
      <c r="E5" s="17">
        <v>0.75</v>
      </c>
      <c r="F5" s="17">
        <v>1.75</v>
      </c>
      <c r="G5" s="17">
        <v>4.5</v>
      </c>
      <c r="H5" s="17">
        <v>7.9</v>
      </c>
      <c r="I5" s="17">
        <v>-0.2</v>
      </c>
      <c r="J5" s="17">
        <f t="shared" si="1"/>
        <v>0.22666666666666668</v>
      </c>
      <c r="K5" s="17">
        <f t="shared" si="2"/>
        <v>3600</v>
      </c>
      <c r="L5" s="25">
        <f t="shared" si="0"/>
        <v>6320</v>
      </c>
      <c r="N5" s="6" t="s">
        <v>14</v>
      </c>
      <c r="O5" s="12">
        <v>1E-3</v>
      </c>
    </row>
    <row r="6" spans="2:15" ht="15" customHeight="1" thickBot="1" x14ac:dyDescent="0.25">
      <c r="B6" s="18">
        <v>8</v>
      </c>
      <c r="C6" s="19">
        <v>6</v>
      </c>
      <c r="D6" s="19">
        <v>20</v>
      </c>
      <c r="E6" s="19">
        <v>0.75</v>
      </c>
      <c r="F6" s="19">
        <v>1.75</v>
      </c>
      <c r="G6" s="19">
        <v>6</v>
      </c>
      <c r="H6" s="19">
        <v>10.5</v>
      </c>
      <c r="I6" s="19">
        <v>-0.2</v>
      </c>
      <c r="J6" s="19">
        <f t="shared" si="1"/>
        <v>0.22500000000000001</v>
      </c>
      <c r="K6" s="19">
        <f t="shared" si="2"/>
        <v>4800</v>
      </c>
      <c r="L6" s="26">
        <f t="shared" si="0"/>
        <v>8400</v>
      </c>
    </row>
    <row r="7" spans="2:15" ht="15" customHeight="1" thickBot="1" x14ac:dyDescent="0.25">
      <c r="B7" s="20">
        <v>10</v>
      </c>
      <c r="C7" s="21">
        <v>8</v>
      </c>
      <c r="D7" s="21">
        <v>20</v>
      </c>
      <c r="E7" s="21">
        <v>0.7</v>
      </c>
      <c r="F7" s="21">
        <v>1.75</v>
      </c>
      <c r="G7" s="21">
        <v>7</v>
      </c>
      <c r="H7" s="21">
        <v>12.3</v>
      </c>
      <c r="I7" s="21">
        <v>-0.25</v>
      </c>
      <c r="J7" s="21">
        <f t="shared" si="1"/>
        <v>0.26500000000000001</v>
      </c>
      <c r="K7" s="21">
        <f t="shared" si="2"/>
        <v>5600</v>
      </c>
      <c r="L7" s="27">
        <f t="shared" si="0"/>
        <v>9840</v>
      </c>
    </row>
    <row r="8" spans="2:15" ht="15" customHeight="1" thickBot="1" x14ac:dyDescent="0.25">
      <c r="B8" s="22">
        <v>12</v>
      </c>
      <c r="C8" s="23">
        <v>8</v>
      </c>
      <c r="D8" s="23">
        <v>25</v>
      </c>
      <c r="E8" s="23">
        <v>0.7</v>
      </c>
      <c r="F8" s="23">
        <v>1.6</v>
      </c>
      <c r="G8" s="23">
        <v>8.4</v>
      </c>
      <c r="H8" s="23">
        <v>13.4</v>
      </c>
      <c r="I8" s="23">
        <v>-0.25</v>
      </c>
      <c r="J8" s="23">
        <f t="shared" si="1"/>
        <v>0.2</v>
      </c>
      <c r="K8" s="23">
        <f t="shared" si="2"/>
        <v>6720</v>
      </c>
      <c r="L8" s="28">
        <f t="shared" si="0"/>
        <v>10720</v>
      </c>
    </row>
    <row r="9" spans="2:15" ht="15" customHeight="1" thickBot="1" x14ac:dyDescent="0.25">
      <c r="B9" s="14">
        <v>14</v>
      </c>
      <c r="C9" s="15">
        <v>12</v>
      </c>
      <c r="D9" s="15">
        <v>25</v>
      </c>
      <c r="E9" s="15">
        <v>0.7</v>
      </c>
      <c r="F9" s="15">
        <v>1.6</v>
      </c>
      <c r="G9" s="15">
        <v>9.8000000000000007</v>
      </c>
      <c r="H9" s="15">
        <v>15.7</v>
      </c>
      <c r="I9" s="15">
        <v>-0.25</v>
      </c>
      <c r="J9" s="15">
        <f t="shared" si="1"/>
        <v>0.23599999999999993</v>
      </c>
      <c r="K9" s="15">
        <f t="shared" si="2"/>
        <v>7840.0000000000009</v>
      </c>
      <c r="L9" s="24">
        <f t="shared" ref="L9:L14" si="3">IF(B9&lt;=20,800*H9,IF(B9&lt;=24,H9*750,H9*700))</f>
        <v>12560</v>
      </c>
    </row>
    <row r="10" spans="2:15" ht="15" customHeight="1" thickBot="1" x14ac:dyDescent="0.25">
      <c r="B10" s="16">
        <v>16</v>
      </c>
      <c r="C10" s="17">
        <v>12</v>
      </c>
      <c r="D10" s="17">
        <v>30</v>
      </c>
      <c r="E10" s="17">
        <v>0.65</v>
      </c>
      <c r="F10" s="17">
        <v>1.6</v>
      </c>
      <c r="G10" s="17">
        <v>10.4</v>
      </c>
      <c r="H10" s="17">
        <v>16.600000000000001</v>
      </c>
      <c r="I10" s="17">
        <v>-0.25</v>
      </c>
      <c r="J10" s="17">
        <f t="shared" si="1"/>
        <v>0.20666666666666669</v>
      </c>
      <c r="K10" s="17">
        <f t="shared" si="2"/>
        <v>8320</v>
      </c>
      <c r="L10" s="25">
        <f t="shared" si="3"/>
        <v>13280.000000000002</v>
      </c>
    </row>
    <row r="11" spans="2:15" ht="15" customHeight="1" thickBot="1" x14ac:dyDescent="0.25">
      <c r="B11" s="18">
        <v>18</v>
      </c>
      <c r="C11" s="19">
        <v>14</v>
      </c>
      <c r="D11" s="19">
        <v>30</v>
      </c>
      <c r="E11" s="19">
        <v>0.65</v>
      </c>
      <c r="F11" s="19">
        <v>1.6</v>
      </c>
      <c r="G11" s="19">
        <v>11.7</v>
      </c>
      <c r="H11" s="19">
        <v>18.7</v>
      </c>
      <c r="I11" s="19">
        <v>-0.25</v>
      </c>
      <c r="J11" s="19">
        <f t="shared" si="1"/>
        <v>0.23333333333333334</v>
      </c>
      <c r="K11" s="19">
        <f t="shared" si="2"/>
        <v>9360</v>
      </c>
      <c r="L11" s="26">
        <f t="shared" si="3"/>
        <v>14960</v>
      </c>
    </row>
    <row r="12" spans="2:15" ht="15" customHeight="1" thickBot="1" x14ac:dyDescent="0.25">
      <c r="B12" s="20">
        <v>20</v>
      </c>
      <c r="C12" s="21">
        <v>14</v>
      </c>
      <c r="D12" s="21">
        <v>35</v>
      </c>
      <c r="E12" s="21">
        <v>0.6</v>
      </c>
      <c r="F12" s="21">
        <v>1.6</v>
      </c>
      <c r="G12" s="21">
        <v>12</v>
      </c>
      <c r="H12" s="21">
        <v>19.2</v>
      </c>
      <c r="I12" s="21">
        <v>-0.25</v>
      </c>
      <c r="J12" s="21">
        <f t="shared" si="1"/>
        <v>0.20571428571428568</v>
      </c>
      <c r="K12" s="21">
        <f t="shared" si="2"/>
        <v>9600</v>
      </c>
      <c r="L12" s="27">
        <f t="shared" si="3"/>
        <v>15360</v>
      </c>
    </row>
    <row r="13" spans="2:15" ht="15" customHeight="1" thickBot="1" x14ac:dyDescent="0.25">
      <c r="B13" s="22">
        <v>22</v>
      </c>
      <c r="C13" s="23">
        <v>18</v>
      </c>
      <c r="D13" s="23">
        <v>35</v>
      </c>
      <c r="E13" s="23">
        <v>0.55000000000000004</v>
      </c>
      <c r="F13" s="23">
        <v>1.6</v>
      </c>
      <c r="G13" s="23">
        <v>12.1</v>
      </c>
      <c r="H13" s="23">
        <v>19.399999999999999</v>
      </c>
      <c r="I13" s="23">
        <v>-0.25</v>
      </c>
      <c r="J13" s="23">
        <f t="shared" si="1"/>
        <v>0.20857142857142855</v>
      </c>
      <c r="K13" s="23">
        <f t="shared" si="2"/>
        <v>9075</v>
      </c>
      <c r="L13" s="28">
        <f t="shared" si="3"/>
        <v>14549.999999999998</v>
      </c>
    </row>
    <row r="14" spans="2:15" ht="15" customHeight="1" thickBot="1" x14ac:dyDescent="0.25">
      <c r="B14" s="14">
        <v>24</v>
      </c>
      <c r="C14" s="15">
        <v>18</v>
      </c>
      <c r="D14" s="15">
        <v>40</v>
      </c>
      <c r="E14" s="15">
        <v>0.55000000000000004</v>
      </c>
      <c r="F14" s="15">
        <v>1.6</v>
      </c>
      <c r="G14" s="15">
        <v>13.2</v>
      </c>
      <c r="H14" s="15">
        <v>21.1</v>
      </c>
      <c r="I14" s="15">
        <v>-0.25</v>
      </c>
      <c r="J14" s="15">
        <f t="shared" ref="J14" si="4">(H14-G14)/D14</f>
        <v>0.19750000000000006</v>
      </c>
      <c r="K14" s="15">
        <f t="shared" ref="K14" si="5">IF(B14&lt;=20,800*G14,IF(B14&lt;=24,G14*750,G14*700))</f>
        <v>9900</v>
      </c>
      <c r="L14" s="24">
        <f t="shared" si="3"/>
        <v>15825.000000000002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Display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Bragato</dc:creator>
  <cp:lastModifiedBy>Gustavo Bragato</cp:lastModifiedBy>
  <dcterms:created xsi:type="dcterms:W3CDTF">2021-11-08T12:43:22Z</dcterms:created>
  <dcterms:modified xsi:type="dcterms:W3CDTF">2022-05-20T03:26:58Z</dcterms:modified>
</cp:coreProperties>
</file>